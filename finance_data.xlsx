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rya\OneDrive\Desktop\Finance Tracker\backend\"/>
    </mc:Choice>
  </mc:AlternateContent>
  <xr:revisionPtr revIDLastSave="0" documentId="8_{4F01CD99-C99B-4AEC-AC5C-9E659828D0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1" r:id="rId1"/>
    <sheet name="PivotTables" sheetId="2" r:id="rId2"/>
    <sheet name="Calculations" sheetId="3" r:id="rId3"/>
    <sheet name="Sheet1" sheetId="4" r:id="rId4"/>
  </sheets>
  <definedNames>
    <definedName name="CategorySlicer">#N/A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B5" i="3"/>
  <c r="B3" i="3"/>
  <c r="B2" i="3"/>
  <c r="B4" i="3" s="1"/>
</calcChain>
</file>

<file path=xl/sharedStrings.xml><?xml version="1.0" encoding="utf-8"?>
<sst xmlns="http://schemas.openxmlformats.org/spreadsheetml/2006/main" count="276" uniqueCount="127">
  <si>
    <t>ID</t>
  </si>
  <si>
    <t>Date</t>
  </si>
  <si>
    <t>Amount</t>
  </si>
  <si>
    <t>Category</t>
  </si>
  <si>
    <t>Description</t>
  </si>
  <si>
    <t>Type</t>
  </si>
  <si>
    <t>47ed59f7-3a88-44bc-ab62-2a7bc8b7075a</t>
  </si>
  <si>
    <t>2026-02-27</t>
  </si>
  <si>
    <t>CAB</t>
  </si>
  <si>
    <t>cab from hostel to airport</t>
  </si>
  <si>
    <t>Expense</t>
  </si>
  <si>
    <t>776c6602-3807-4502-9fa1-c13e11356e6b</t>
  </si>
  <si>
    <t>food</t>
  </si>
  <si>
    <t>Ate food from KFC</t>
  </si>
  <si>
    <t>744c727f-4bd5-4a9d-833c-95a7d7e22efb</t>
  </si>
  <si>
    <t>2026-03-24</t>
  </si>
  <si>
    <t>Blinkit</t>
  </si>
  <si>
    <t>bought essentials from blinkit</t>
  </si>
  <si>
    <t>skdfna;g</t>
  </si>
  <si>
    <t>2026-03-25</t>
  </si>
  <si>
    <t>outing</t>
  </si>
  <si>
    <t>Outing at marina mall</t>
  </si>
  <si>
    <t>SDfS</t>
  </si>
  <si>
    <t>2026-03-22</t>
  </si>
  <si>
    <t>Food</t>
  </si>
  <si>
    <t>Gazebo</t>
  </si>
  <si>
    <t>2738151e-008f-452b-9326-e409dbfcb37a</t>
  </si>
  <si>
    <t>2025-06-28</t>
  </si>
  <si>
    <t>Auto entry</t>
  </si>
  <si>
    <t>Income</t>
  </si>
  <si>
    <t>4fb2e39c-bbe6-4090-a243-b76ffc7bc782</t>
  </si>
  <si>
    <t>2025-10-14</t>
  </si>
  <si>
    <t>Shopping</t>
  </si>
  <si>
    <t>Auto</t>
  </si>
  <si>
    <t>49f5e581-e355-4bc7-b539-738d00442a00</t>
  </si>
  <si>
    <t>2025-07-31</t>
  </si>
  <si>
    <t>Bills</t>
  </si>
  <si>
    <t>90f5439a-5a27-4b0c-937e-5e522633417a</t>
  </si>
  <si>
    <t>2025-07-30</t>
  </si>
  <si>
    <t>Transport</t>
  </si>
  <si>
    <t>c7ea737d-49b6-4378-8c2a-e485b7c570e3</t>
  </si>
  <si>
    <t>2025-12-08</t>
  </si>
  <si>
    <t>Health</t>
  </si>
  <si>
    <t>e5e3e4e9-aa4d-4224-b86d-8d2b4d42a8c3</t>
  </si>
  <si>
    <t>2025-03-18</t>
  </si>
  <si>
    <t>0dff6e22-acbc-4bf0-9b5f-2d88e02c600a</t>
  </si>
  <si>
    <t>2025-01-28</t>
  </si>
  <si>
    <t>Entertainment</t>
  </si>
  <si>
    <t>4a379a1b-5466-4cf3-9d1d-34ebf3ab0ff9</t>
  </si>
  <si>
    <t>2025-06-24</t>
  </si>
  <si>
    <t>7ecadabb-e438-42b9-9aa1-e44d784cd38a</t>
  </si>
  <si>
    <t>2025-10-24</t>
  </si>
  <si>
    <t>009f690b-ff96-4f0b-b487-e29bdbd8872e</t>
  </si>
  <si>
    <t>2025-08-17</t>
  </si>
  <si>
    <t>eb6bc834-276f-4db8-a90f-4bb6f0a2d263</t>
  </si>
  <si>
    <t>2025-06-05</t>
  </si>
  <si>
    <t>b565cd37-ca02-4fcc-863d-da8e28dee351</t>
  </si>
  <si>
    <t>2025-05-03</t>
  </si>
  <si>
    <t>a6d76d09-b52a-4c8e-a804-dbfd3815b0f0</t>
  </si>
  <si>
    <t>2025-05-16</t>
  </si>
  <si>
    <t>4625aef0-ef68-4bef-8462-fc32acb542d4</t>
  </si>
  <si>
    <t>2025-07-24</t>
  </si>
  <si>
    <t>5232c2ce-3b7d-4661-8841-ec3b11a4832f</t>
  </si>
  <si>
    <t>2025-12-12</t>
  </si>
  <si>
    <t>a8984b6a-b2ed-4824-885d-31ffb5495d54</t>
  </si>
  <si>
    <t>2025-06-25</t>
  </si>
  <si>
    <t>b8ed991d-80ff-4c84-9115-0921e216942f</t>
  </si>
  <si>
    <t>2025-01-12</t>
  </si>
  <si>
    <t>622a5bd5-54c0-4f02-8f2f-fd75285e58c8</t>
  </si>
  <si>
    <t>2025-08-07</t>
  </si>
  <si>
    <t>0305e905-2391-4fb8-911f-d23499bac954</t>
  </si>
  <si>
    <t>2025-04-25</t>
  </si>
  <si>
    <t>2da0addb-102d-4fb9-89be-fdb481c28758</t>
  </si>
  <si>
    <t>2025-12-10</t>
  </si>
  <si>
    <t>fb29e7a9-9f9a-47f8-b68a-8c930b9cff4f</t>
  </si>
  <si>
    <t>644f4007-e46f-468a-9a98-2479643eb320</t>
  </si>
  <si>
    <t>2025-04-11</t>
  </si>
  <si>
    <t>f9c5b192-eb75-4dfd-94fb-fb66ceba607f</t>
  </si>
  <si>
    <t>2025-08-16</t>
  </si>
  <si>
    <t>d2d52cec-d7ad-4050-8156-f79c73d1eb50</t>
  </si>
  <si>
    <t>2025-09-02</t>
  </si>
  <si>
    <t>611e12b8-d7ed-463e-b339-e7bbbda8a372</t>
  </si>
  <si>
    <t>2025-02-03</t>
  </si>
  <si>
    <t>470ba01d-a4fc-4c8f-bc08-2600726d8d51</t>
  </si>
  <si>
    <t>2025-01-17</t>
  </si>
  <si>
    <t>8660e590-8ded-46e3-b00f-64c5b2bd5f39</t>
  </si>
  <si>
    <t>2025-04-18</t>
  </si>
  <si>
    <t>832b117f-e6aa-4603-816a-9e4aa9eab22b</t>
  </si>
  <si>
    <t>2025-03-13</t>
  </si>
  <si>
    <t>13174ac0-f180-42e9-a888-f9b5ae12186e</t>
  </si>
  <si>
    <t>2025-07-07</t>
  </si>
  <si>
    <t>285556e4-f878-4c62-baab-3701ec76995e</t>
  </si>
  <si>
    <t>2025-08-23</t>
  </si>
  <si>
    <t>8f4992de-e376-4c72-8ae5-4bd3f2d52228</t>
  </si>
  <si>
    <t>2026-03-19</t>
  </si>
  <si>
    <t>Movie</t>
  </si>
  <si>
    <t>aadu3</t>
  </si>
  <si>
    <t>285556e4-f878-4c62-baab-3701ec769sde</t>
  </si>
  <si>
    <t>2025-03-15</t>
  </si>
  <si>
    <t>Train</t>
  </si>
  <si>
    <t>2026-03-29</t>
  </si>
  <si>
    <t>outing with freinds</t>
  </si>
  <si>
    <t>2026-03-30</t>
  </si>
  <si>
    <t>Snacks</t>
  </si>
  <si>
    <t>49b8c613-ae2e-4df9-823a-98487a578a16</t>
  </si>
  <si>
    <t>2026-03-31</t>
  </si>
  <si>
    <t>ordered from outside</t>
  </si>
  <si>
    <t>FINANCIAL DASHBOARD</t>
  </si>
  <si>
    <t>Row Labels</t>
  </si>
  <si>
    <t>Total Amount</t>
  </si>
  <si>
    <t>Sum of Amount</t>
  </si>
  <si>
    <t>Column Labels</t>
  </si>
  <si>
    <t>Grand Total</t>
  </si>
  <si>
    <t>Metric</t>
  </si>
  <si>
    <t>Value</t>
  </si>
  <si>
    <t>Total Income</t>
  </si>
  <si>
    <t>Total Expense</t>
  </si>
  <si>
    <t>Balance</t>
  </si>
  <si>
    <t>Average Expense</t>
  </si>
  <si>
    <t>Average Income</t>
  </si>
  <si>
    <t>Max Expense</t>
  </si>
  <si>
    <t>Min Expense</t>
  </si>
  <si>
    <t>Transaction Count</t>
  </si>
  <si>
    <t>Expense Count</t>
  </si>
  <si>
    <t>Income Count</t>
  </si>
  <si>
    <t>285556e4-f878-4c62-baab-3701ec769abcdef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</si>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</sst>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[finance_data.xlsx]PivotTables!PivotCategory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Expenses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PivotTables!$A$4:$A$12</c:f>
              <c:strCache>
                <c:ptCount val="8"/>
                <c:pt idx="0">
                  <c:v>Bills</c:v>
                </c:pt>
                <c:pt idx="1">
                  <c:v>Blinkit</c:v>
                </c:pt>
                <c:pt idx="2">
                  <c:v>CAB</c:v>
                </c:pt>
                <c:pt idx="3">
                  <c:v>Entertainment</c:v>
                </c:pt>
                <c:pt idx="4">
                  <c:v>food</c:v>
                </c:pt>
                <c:pt idx="5">
                  <c:v>outing</c:v>
                </c:pt>
                <c:pt idx="6">
                  <c:v>Shopping</c:v>
                </c:pt>
                <c:pt idx="7">
                  <c:v>Transport</c:v>
                </c:pt>
              </c:strCache>
            </c:strRef>
          </c:cat>
          <c:val>
            <c:numRef>
              <c:f>PivotTables!$B$4:$B$12</c:f>
              <c:numCache>
                <c:formatCode>0.00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8-4F88-97D3-FC5F5EA79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1567664"/>
        <c:axId val="1331552304"/>
      </c:barChart>
      <c:catAx>
        <c:axId val="1331567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31552304"/>
        <c:crosses val="autoZero"/>
        <c:auto val="1"/>
        <c:lblAlgn val="ctr"/>
        <c:lblOffset val="100"/>
        <c:noMultiLvlLbl val="0"/>
      </c:catAx>
      <c:valAx>
        <c:axId val="1331552304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133156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[finance_data.xlsx]PivotTables!PivotTrend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Income &amp; Expense Trend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PivotTables!$F$3:$F$4</c:f>
              <c:strCache>
                <c:ptCount val="1"/>
                <c:pt idx="0">
                  <c:v>Expense</c:v>
                </c:pt>
              </c:strCache>
            </c:strRef>
          </c:tx>
          <c:marker>
            <c:symbol val="none"/>
          </c:marker>
          <c:cat>
            <c:strRef>
              <c:f>PivotTables!$E$5:$E$38</c:f>
              <c:strCache>
                <c:ptCount val="33"/>
                <c:pt idx="0">
                  <c:v>2025-01-12</c:v>
                </c:pt>
                <c:pt idx="1">
                  <c:v>2025-01-17</c:v>
                </c:pt>
                <c:pt idx="2">
                  <c:v>2025-01-28</c:v>
                </c:pt>
                <c:pt idx="3">
                  <c:v>2025-02-03</c:v>
                </c:pt>
                <c:pt idx="4">
                  <c:v>2025-03-13</c:v>
                </c:pt>
                <c:pt idx="5">
                  <c:v>2025-03-18</c:v>
                </c:pt>
                <c:pt idx="6">
                  <c:v>2025-04-11</c:v>
                </c:pt>
                <c:pt idx="7">
                  <c:v>2025-04-18</c:v>
                </c:pt>
                <c:pt idx="8">
                  <c:v>2025-04-25</c:v>
                </c:pt>
                <c:pt idx="9">
                  <c:v>2025-05-03</c:v>
                </c:pt>
                <c:pt idx="10">
                  <c:v>2025-05-16</c:v>
                </c:pt>
                <c:pt idx="11">
                  <c:v>2025-06-05</c:v>
                </c:pt>
                <c:pt idx="12">
                  <c:v>2025-06-24</c:v>
                </c:pt>
                <c:pt idx="13">
                  <c:v>2025-06-25</c:v>
                </c:pt>
                <c:pt idx="14">
                  <c:v>2025-06-28</c:v>
                </c:pt>
                <c:pt idx="15">
                  <c:v>2025-07-07</c:v>
                </c:pt>
                <c:pt idx="16">
                  <c:v>2025-07-24</c:v>
                </c:pt>
                <c:pt idx="17">
                  <c:v>2025-07-30</c:v>
                </c:pt>
                <c:pt idx="18">
                  <c:v>2025-07-31</c:v>
                </c:pt>
                <c:pt idx="19">
                  <c:v>2025-08-07</c:v>
                </c:pt>
                <c:pt idx="20">
                  <c:v>2025-08-16</c:v>
                </c:pt>
                <c:pt idx="21">
                  <c:v>2025-08-17</c:v>
                </c:pt>
                <c:pt idx="22">
                  <c:v>2025-08-23</c:v>
                </c:pt>
                <c:pt idx="23">
                  <c:v>2025-09-02</c:v>
                </c:pt>
                <c:pt idx="24">
                  <c:v>2025-10-14</c:v>
                </c:pt>
                <c:pt idx="25">
                  <c:v>2025-10-24</c:v>
                </c:pt>
                <c:pt idx="26">
                  <c:v>2025-12-08</c:v>
                </c:pt>
                <c:pt idx="27">
                  <c:v>2025-12-10</c:v>
                </c:pt>
                <c:pt idx="28">
                  <c:v>2025-12-12</c:v>
                </c:pt>
                <c:pt idx="29">
                  <c:v>2026-02-27</c:v>
                </c:pt>
                <c:pt idx="30">
                  <c:v>2026-03-22</c:v>
                </c:pt>
                <c:pt idx="31">
                  <c:v>2026-03-24</c:v>
                </c:pt>
                <c:pt idx="32">
                  <c:v>2026-03-25</c:v>
                </c:pt>
              </c:strCache>
            </c:strRef>
          </c:cat>
          <c:val>
            <c:numRef>
              <c:f>PivotTables!$F$5:$F$38</c:f>
              <c:numCache>
                <c:formatCode>0.00</c:formatCode>
                <c:ptCount val="33"/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3-458F-BB6F-E416808BE0B4}"/>
            </c:ext>
          </c:extLst>
        </c:ser>
        <c:ser>
          <c:idx val="1"/>
          <c:order val="1"/>
          <c:tx>
            <c:strRef>
              <c:f>PivotTables!$G$3:$G$4</c:f>
              <c:strCache>
                <c:ptCount val="1"/>
                <c:pt idx="0">
                  <c:v>Income</c:v>
                </c:pt>
              </c:strCache>
            </c:strRef>
          </c:tx>
          <c:marker>
            <c:symbol val="none"/>
          </c:marker>
          <c:cat>
            <c:strRef>
              <c:f>PivotTables!$E$5:$E$38</c:f>
              <c:strCache>
                <c:ptCount val="33"/>
                <c:pt idx="0">
                  <c:v>2025-01-12</c:v>
                </c:pt>
                <c:pt idx="1">
                  <c:v>2025-01-17</c:v>
                </c:pt>
                <c:pt idx="2">
                  <c:v>2025-01-28</c:v>
                </c:pt>
                <c:pt idx="3">
                  <c:v>2025-02-03</c:v>
                </c:pt>
                <c:pt idx="4">
                  <c:v>2025-03-13</c:v>
                </c:pt>
                <c:pt idx="5">
                  <c:v>2025-03-18</c:v>
                </c:pt>
                <c:pt idx="6">
                  <c:v>2025-04-11</c:v>
                </c:pt>
                <c:pt idx="7">
                  <c:v>2025-04-18</c:v>
                </c:pt>
                <c:pt idx="8">
                  <c:v>2025-04-25</c:v>
                </c:pt>
                <c:pt idx="9">
                  <c:v>2025-05-03</c:v>
                </c:pt>
                <c:pt idx="10">
                  <c:v>2025-05-16</c:v>
                </c:pt>
                <c:pt idx="11">
                  <c:v>2025-06-05</c:v>
                </c:pt>
                <c:pt idx="12">
                  <c:v>2025-06-24</c:v>
                </c:pt>
                <c:pt idx="13">
                  <c:v>2025-06-25</c:v>
                </c:pt>
                <c:pt idx="14">
                  <c:v>2025-06-28</c:v>
                </c:pt>
                <c:pt idx="15">
                  <c:v>2025-07-07</c:v>
                </c:pt>
                <c:pt idx="16">
                  <c:v>2025-07-24</c:v>
                </c:pt>
                <c:pt idx="17">
                  <c:v>2025-07-30</c:v>
                </c:pt>
                <c:pt idx="18">
                  <c:v>2025-07-31</c:v>
                </c:pt>
                <c:pt idx="19">
                  <c:v>2025-08-07</c:v>
                </c:pt>
                <c:pt idx="20">
                  <c:v>2025-08-16</c:v>
                </c:pt>
                <c:pt idx="21">
                  <c:v>2025-08-17</c:v>
                </c:pt>
                <c:pt idx="22">
                  <c:v>2025-08-23</c:v>
                </c:pt>
                <c:pt idx="23">
                  <c:v>2025-09-02</c:v>
                </c:pt>
                <c:pt idx="24">
                  <c:v>2025-10-14</c:v>
                </c:pt>
                <c:pt idx="25">
                  <c:v>2025-10-24</c:v>
                </c:pt>
                <c:pt idx="26">
                  <c:v>2025-12-08</c:v>
                </c:pt>
                <c:pt idx="27">
                  <c:v>2025-12-10</c:v>
                </c:pt>
                <c:pt idx="28">
                  <c:v>2025-12-12</c:v>
                </c:pt>
                <c:pt idx="29">
                  <c:v>2026-02-27</c:v>
                </c:pt>
                <c:pt idx="30">
                  <c:v>2026-03-22</c:v>
                </c:pt>
                <c:pt idx="31">
                  <c:v>2026-03-24</c:v>
                </c:pt>
                <c:pt idx="32">
                  <c:v>2026-03-25</c:v>
                </c:pt>
              </c:strCache>
            </c:strRef>
          </c:cat>
          <c:val>
            <c:numRef>
              <c:f>PivotTables!$G$5:$G$38</c:f>
              <c:numCache>
                <c:formatCode>0.00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3-458F-BB6F-E416808BE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568624"/>
        <c:axId val="1331560464"/>
      </c:lineChart>
      <c:catAx>
        <c:axId val="133156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1560464"/>
        <c:crosses val="autoZero"/>
        <c:auto val="1"/>
        <c:lblAlgn val="ctr"/>
        <c:lblOffset val="100"/>
        <c:noMultiLvlLbl val="0"/>
      </c:catAx>
      <c:valAx>
        <c:axId val="1331560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3156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</xdr:row>
      <xdr:rowOff>86360</xdr:rowOff>
    </xdr:from>
    <xdr:to>
      <xdr:col>8</xdr:col>
      <xdr:colOff>330200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3</xdr:row>
      <xdr:rowOff>86360</xdr:rowOff>
    </xdr:from>
    <xdr:to>
      <xdr:col>17</xdr:col>
      <xdr:colOff>50800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aryasree Rajesh" refreshedDate="46106.713367708333" createdVersion="8" refreshedVersion="8" minRefreshableVersion="3" recordCount="35" xr:uid="{00000000-000A-0000-FFFF-FFFF00000000}">
  <cacheSource type="worksheet">
    <worksheetSource ref="A1:F36" sheet="Sheet1"/>
  </cacheSource>
  <cacheFields count="6">
    <cacheField name="ID" numFmtId="0">
      <sharedItems/>
    </cacheField>
    <cacheField name="Date" numFmtId="0">
      <sharedItems count="33">
        <s v="2026-02-27"/>
        <s v="2026-03-24"/>
        <s v="2026-03-25"/>
        <s v="2026-03-22"/>
        <s v="2025-06-28"/>
        <s v="2025-10-14"/>
        <s v="2025-07-31"/>
        <s v="2025-07-30"/>
        <s v="2025-12-08"/>
        <s v="2025-03-18"/>
        <s v="2025-01-28"/>
        <s v="2025-06-24"/>
        <s v="2025-10-24"/>
        <s v="2025-08-17"/>
        <s v="2025-06-05"/>
        <s v="2025-05-03"/>
        <s v="2025-05-16"/>
        <s v="2025-07-24"/>
        <s v="2025-12-12"/>
        <s v="2025-06-25"/>
        <s v="2025-01-12"/>
        <s v="2025-08-07"/>
        <s v="2025-04-25"/>
        <s v="2025-12-10"/>
        <s v="2025-04-11"/>
        <s v="2025-08-16"/>
        <s v="2025-09-02"/>
        <s v="2025-02-03"/>
        <s v="2025-01-17"/>
        <s v="2025-04-18"/>
        <s v="2025-03-13"/>
        <s v="2025-07-07"/>
        <s v="2025-08-23"/>
      </sharedItems>
    </cacheField>
    <cacheField name="Amount" numFmtId="2">
      <sharedItems containsSemiMixedTypes="0" containsString="0" containsNumber="1" minValue="200" maxValue="4899.21"/>
    </cacheField>
    <cacheField name="Category" numFmtId="0">
      <sharedItems count="9">
        <s v="CAB"/>
        <s v="food"/>
        <s v="Blinkit"/>
        <s v="outing"/>
        <s v="Shopping"/>
        <s v="Bills"/>
        <s v="Transport"/>
        <s v="Health"/>
        <s v="Entertainment"/>
      </sharedItems>
    </cacheField>
    <cacheField name="Description" numFmtId="0">
      <sharedItems/>
    </cacheField>
    <cacheField name="Type" numFmtId="0">
      <sharedItems count="2">
        <s v="Expense"/>
        <s v="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 rowPageCount="1" colPageCount="1"/>
  <pivotFields count="6">
    <pivotField showAll="0"/>
    <pivotField showAll="0"/>
    <pivotField dataField="1" numFmtId="2" showAll="0"/>
    <pivotField axis="axisRow" showAll="0">
      <items count="10">
        <item x="5"/>
        <item x="2"/>
        <item x="0"/>
        <item x="8"/>
        <item x="1"/>
        <item x="7"/>
        <item x="3"/>
        <item x="4"/>
        <item x="6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5" item="0" hier="-1"/>
  </pageFields>
  <dataFields count="1">
    <dataField name="Total Amount" fld="2" subtotal="count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:H38" firstHeaderRow="1" firstDataRow="2" firstDataCol="1"/>
  <pivotFields count="6">
    <pivotField showAll="0"/>
    <pivotField axis="axisRow" showAll="0">
      <items count="34">
        <item x="20"/>
        <item x="28"/>
        <item x="10"/>
        <item x="27"/>
        <item x="30"/>
        <item x="9"/>
        <item x="24"/>
        <item x="29"/>
        <item x="22"/>
        <item x="15"/>
        <item x="16"/>
        <item x="14"/>
        <item x="11"/>
        <item x="19"/>
        <item x="4"/>
        <item x="31"/>
        <item x="17"/>
        <item x="7"/>
        <item x="6"/>
        <item x="21"/>
        <item x="25"/>
        <item x="13"/>
        <item x="32"/>
        <item x="26"/>
        <item x="5"/>
        <item x="12"/>
        <item x="8"/>
        <item x="23"/>
        <item x="18"/>
        <item x="0"/>
        <item x="3"/>
        <item x="1"/>
        <item x="2"/>
        <item t="default"/>
      </items>
    </pivotField>
    <pivotField dataField="1" numFmtId="2" showAll="0"/>
    <pivotField showAll="0">
      <items count="10">
        <item x="5"/>
        <item x="2"/>
        <item x="0"/>
        <item x="8"/>
        <item x="1"/>
        <item x="7"/>
        <item x="3"/>
        <item x="4"/>
        <item x="6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Amount" fld="2" subtotal="count" baseField="0" baseItem="0" numFmtId="2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ht="31.2" customHeight="1" x14ac:dyDescent="0.6">
      <c r="A1" s="4" t="s">
        <v>107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/>
  </sheetViews>
  <sheetFormatPr defaultRowHeight="14.4" x14ac:dyDescent="0.3"/>
  <cols>
    <col min="1" max="1" width="12.6640625" bestFit="1" customWidth="1"/>
    <col min="2" max="2" width="12.5546875" bestFit="1" customWidth="1"/>
    <col min="5" max="5" width="14.44140625" bestFit="1" customWidth="1"/>
    <col min="6" max="6" width="15.5546875" bestFit="1" customWidth="1"/>
    <col min="7" max="7" width="7.33203125" bestFit="1" customWidth="1"/>
    <col min="8" max="8" width="10.77734375" bestFit="1" customWidth="1"/>
  </cols>
  <sheetData>
    <row r="1" spans="1:8" x14ac:dyDescent="0.3">
      <c r="A1" s="2" t="s">
        <v>5</v>
      </c>
      <c r="B1" t="s">
        <v>10</v>
      </c>
    </row>
    <row r="3" spans="1:8" x14ac:dyDescent="0.3">
      <c r="A3" s="2" t="s">
        <v>108</v>
      </c>
      <c r="B3" t="s">
        <v>109</v>
      </c>
      <c r="E3" s="2" t="s">
        <v>110</v>
      </c>
      <c r="F3" s="2" t="s">
        <v>111</v>
      </c>
    </row>
    <row r="4" spans="1:8" x14ac:dyDescent="0.3">
      <c r="A4" s="3" t="s">
        <v>36</v>
      </c>
      <c r="B4" s="1">
        <v>2</v>
      </c>
      <c r="E4" s="2" t="s">
        <v>108</v>
      </c>
      <c r="F4" t="s">
        <v>10</v>
      </c>
      <c r="G4" t="s">
        <v>29</v>
      </c>
      <c r="H4" t="s">
        <v>112</v>
      </c>
    </row>
    <row r="5" spans="1:8" x14ac:dyDescent="0.3">
      <c r="A5" s="3" t="s">
        <v>16</v>
      </c>
      <c r="B5" s="1">
        <v>1</v>
      </c>
      <c r="E5" s="3" t="s">
        <v>67</v>
      </c>
      <c r="F5" s="1"/>
      <c r="G5" s="1">
        <v>1</v>
      </c>
      <c r="H5" s="1">
        <v>1</v>
      </c>
    </row>
    <row r="6" spans="1:8" x14ac:dyDescent="0.3">
      <c r="A6" s="3" t="s">
        <v>8</v>
      </c>
      <c r="B6" s="1">
        <v>1</v>
      </c>
      <c r="E6" s="3" t="s">
        <v>84</v>
      </c>
      <c r="F6" s="1"/>
      <c r="G6" s="1">
        <v>1</v>
      </c>
      <c r="H6" s="1">
        <v>1</v>
      </c>
    </row>
    <row r="7" spans="1:8" x14ac:dyDescent="0.3">
      <c r="A7" s="3" t="s">
        <v>47</v>
      </c>
      <c r="B7" s="1">
        <v>3</v>
      </c>
      <c r="E7" s="3" t="s">
        <v>46</v>
      </c>
      <c r="F7" s="1"/>
      <c r="G7" s="1">
        <v>1</v>
      </c>
      <c r="H7" s="1">
        <v>1</v>
      </c>
    </row>
    <row r="8" spans="1:8" x14ac:dyDescent="0.3">
      <c r="A8" s="3" t="s">
        <v>12</v>
      </c>
      <c r="B8" s="1">
        <v>4</v>
      </c>
      <c r="E8" s="3" t="s">
        <v>82</v>
      </c>
      <c r="F8" s="1"/>
      <c r="G8" s="1">
        <v>1</v>
      </c>
      <c r="H8" s="1">
        <v>1</v>
      </c>
    </row>
    <row r="9" spans="1:8" x14ac:dyDescent="0.3">
      <c r="A9" s="3" t="s">
        <v>20</v>
      </c>
      <c r="B9" s="1">
        <v>1</v>
      </c>
      <c r="E9" s="3" t="s">
        <v>88</v>
      </c>
      <c r="F9" s="1">
        <v>1</v>
      </c>
      <c r="G9" s="1"/>
      <c r="H9" s="1">
        <v>1</v>
      </c>
    </row>
    <row r="10" spans="1:8" x14ac:dyDescent="0.3">
      <c r="A10" s="3" t="s">
        <v>32</v>
      </c>
      <c r="B10" s="1">
        <v>1</v>
      </c>
      <c r="E10" s="3" t="s">
        <v>44</v>
      </c>
      <c r="F10" s="1">
        <v>1</v>
      </c>
      <c r="G10" s="1"/>
      <c r="H10" s="1">
        <v>1</v>
      </c>
    </row>
    <row r="11" spans="1:8" x14ac:dyDescent="0.3">
      <c r="A11" s="3" t="s">
        <v>39</v>
      </c>
      <c r="B11" s="1">
        <v>4</v>
      </c>
      <c r="E11" s="3" t="s">
        <v>76</v>
      </c>
      <c r="F11" s="1">
        <v>1</v>
      </c>
      <c r="G11" s="1"/>
      <c r="H11" s="1">
        <v>1</v>
      </c>
    </row>
    <row r="12" spans="1:8" x14ac:dyDescent="0.3">
      <c r="A12" s="3" t="s">
        <v>112</v>
      </c>
      <c r="B12" s="1">
        <v>17</v>
      </c>
      <c r="E12" s="3" t="s">
        <v>86</v>
      </c>
      <c r="F12" s="1">
        <v>1</v>
      </c>
      <c r="G12" s="1"/>
      <c r="H12" s="1">
        <v>1</v>
      </c>
    </row>
    <row r="13" spans="1:8" x14ac:dyDescent="0.3">
      <c r="E13" s="3" t="s">
        <v>71</v>
      </c>
      <c r="F13" s="1"/>
      <c r="G13" s="1">
        <v>1</v>
      </c>
      <c r="H13" s="1">
        <v>1</v>
      </c>
    </row>
    <row r="14" spans="1:8" x14ac:dyDescent="0.3">
      <c r="E14" s="3" t="s">
        <v>57</v>
      </c>
      <c r="F14" s="1"/>
      <c r="G14" s="1">
        <v>1</v>
      </c>
      <c r="H14" s="1">
        <v>1</v>
      </c>
    </row>
    <row r="15" spans="1:8" x14ac:dyDescent="0.3">
      <c r="E15" s="3" t="s">
        <v>59</v>
      </c>
      <c r="F15" s="1">
        <v>1</v>
      </c>
      <c r="G15" s="1"/>
      <c r="H15" s="1">
        <v>1</v>
      </c>
    </row>
    <row r="16" spans="1:8" x14ac:dyDescent="0.3">
      <c r="E16" s="3" t="s">
        <v>55</v>
      </c>
      <c r="F16" s="1"/>
      <c r="G16" s="1">
        <v>1</v>
      </c>
      <c r="H16" s="1">
        <v>1</v>
      </c>
    </row>
    <row r="17" spans="5:8" x14ac:dyDescent="0.3">
      <c r="E17" s="3" t="s">
        <v>49</v>
      </c>
      <c r="F17" s="1">
        <v>1</v>
      </c>
      <c r="G17" s="1"/>
      <c r="H17" s="1">
        <v>1</v>
      </c>
    </row>
    <row r="18" spans="5:8" x14ac:dyDescent="0.3">
      <c r="E18" s="3" t="s">
        <v>65</v>
      </c>
      <c r="F18" s="1"/>
      <c r="G18" s="1">
        <v>1</v>
      </c>
      <c r="H18" s="1">
        <v>1</v>
      </c>
    </row>
    <row r="19" spans="5:8" x14ac:dyDescent="0.3">
      <c r="E19" s="3" t="s">
        <v>27</v>
      </c>
      <c r="F19" s="1"/>
      <c r="G19" s="1">
        <v>1</v>
      </c>
      <c r="H19" s="1">
        <v>1</v>
      </c>
    </row>
    <row r="20" spans="5:8" x14ac:dyDescent="0.3">
      <c r="E20" s="3" t="s">
        <v>90</v>
      </c>
      <c r="F20" s="1">
        <v>1</v>
      </c>
      <c r="G20" s="1"/>
      <c r="H20" s="1">
        <v>1</v>
      </c>
    </row>
    <row r="21" spans="5:8" x14ac:dyDescent="0.3">
      <c r="E21" s="3" t="s">
        <v>61</v>
      </c>
      <c r="F21" s="1"/>
      <c r="G21" s="1">
        <v>1</v>
      </c>
      <c r="H21" s="1">
        <v>1</v>
      </c>
    </row>
    <row r="22" spans="5:8" x14ac:dyDescent="0.3">
      <c r="E22" s="3" t="s">
        <v>38</v>
      </c>
      <c r="F22" s="1">
        <v>1</v>
      </c>
      <c r="G22" s="1"/>
      <c r="H22" s="1">
        <v>1</v>
      </c>
    </row>
    <row r="23" spans="5:8" x14ac:dyDescent="0.3">
      <c r="E23" s="3" t="s">
        <v>35</v>
      </c>
      <c r="F23" s="1"/>
      <c r="G23" s="1">
        <v>1</v>
      </c>
      <c r="H23" s="1">
        <v>1</v>
      </c>
    </row>
    <row r="24" spans="5:8" x14ac:dyDescent="0.3">
      <c r="E24" s="3" t="s">
        <v>69</v>
      </c>
      <c r="F24" s="1"/>
      <c r="G24" s="1">
        <v>2</v>
      </c>
      <c r="H24" s="1">
        <v>2</v>
      </c>
    </row>
    <row r="25" spans="5:8" x14ac:dyDescent="0.3">
      <c r="E25" s="3" t="s">
        <v>78</v>
      </c>
      <c r="F25" s="1"/>
      <c r="G25" s="1">
        <v>1</v>
      </c>
      <c r="H25" s="1">
        <v>1</v>
      </c>
    </row>
    <row r="26" spans="5:8" x14ac:dyDescent="0.3">
      <c r="E26" s="3" t="s">
        <v>53</v>
      </c>
      <c r="F26" s="1"/>
      <c r="G26" s="1">
        <v>1</v>
      </c>
      <c r="H26" s="1">
        <v>1</v>
      </c>
    </row>
    <row r="27" spans="5:8" x14ac:dyDescent="0.3">
      <c r="E27" s="3" t="s">
        <v>92</v>
      </c>
      <c r="F27" s="1">
        <v>1</v>
      </c>
      <c r="G27" s="1"/>
      <c r="H27" s="1">
        <v>1</v>
      </c>
    </row>
    <row r="28" spans="5:8" x14ac:dyDescent="0.3">
      <c r="E28" s="3" t="s">
        <v>80</v>
      </c>
      <c r="F28" s="1">
        <v>1</v>
      </c>
      <c r="G28" s="1"/>
      <c r="H28" s="1">
        <v>1</v>
      </c>
    </row>
    <row r="29" spans="5:8" x14ac:dyDescent="0.3">
      <c r="E29" s="3" t="s">
        <v>31</v>
      </c>
      <c r="F29" s="1"/>
      <c r="G29" s="1">
        <v>1</v>
      </c>
      <c r="H29" s="1">
        <v>1</v>
      </c>
    </row>
    <row r="30" spans="5:8" x14ac:dyDescent="0.3">
      <c r="E30" s="3" t="s">
        <v>51</v>
      </c>
      <c r="F30" s="1"/>
      <c r="G30" s="1">
        <v>1</v>
      </c>
      <c r="H30" s="1">
        <v>1</v>
      </c>
    </row>
    <row r="31" spans="5:8" x14ac:dyDescent="0.3">
      <c r="E31" s="3" t="s">
        <v>41</v>
      </c>
      <c r="F31" s="1"/>
      <c r="G31" s="1">
        <v>1</v>
      </c>
      <c r="H31" s="1">
        <v>1</v>
      </c>
    </row>
    <row r="32" spans="5:8" x14ac:dyDescent="0.3">
      <c r="E32" s="3" t="s">
        <v>73</v>
      </c>
      <c r="F32" s="1">
        <v>1</v>
      </c>
      <c r="G32" s="1"/>
      <c r="H32" s="1">
        <v>1</v>
      </c>
    </row>
    <row r="33" spans="5:8" x14ac:dyDescent="0.3">
      <c r="E33" s="3" t="s">
        <v>63</v>
      </c>
      <c r="F33" s="1">
        <v>1</v>
      </c>
      <c r="G33" s="1"/>
      <c r="H33" s="1">
        <v>1</v>
      </c>
    </row>
    <row r="34" spans="5:8" x14ac:dyDescent="0.3">
      <c r="E34" s="3" t="s">
        <v>7</v>
      </c>
      <c r="F34" s="1">
        <v>2</v>
      </c>
      <c r="G34" s="1"/>
      <c r="H34" s="1">
        <v>2</v>
      </c>
    </row>
    <row r="35" spans="5:8" x14ac:dyDescent="0.3">
      <c r="E35" s="3" t="s">
        <v>23</v>
      </c>
      <c r="F35" s="1">
        <v>1</v>
      </c>
      <c r="G35" s="1"/>
      <c r="H35" s="1">
        <v>1</v>
      </c>
    </row>
    <row r="36" spans="5:8" x14ac:dyDescent="0.3">
      <c r="E36" s="3" t="s">
        <v>15</v>
      </c>
      <c r="F36" s="1">
        <v>1</v>
      </c>
      <c r="G36" s="1"/>
      <c r="H36" s="1">
        <v>1</v>
      </c>
    </row>
    <row r="37" spans="5:8" x14ac:dyDescent="0.3">
      <c r="E37" s="3" t="s">
        <v>19</v>
      </c>
      <c r="F37" s="1">
        <v>1</v>
      </c>
      <c r="G37" s="1"/>
      <c r="H37" s="1">
        <v>1</v>
      </c>
    </row>
    <row r="38" spans="5:8" x14ac:dyDescent="0.3">
      <c r="E38" s="3" t="s">
        <v>112</v>
      </c>
      <c r="F38" s="1">
        <v>17</v>
      </c>
      <c r="G38" s="1">
        <v>18</v>
      </c>
      <c r="H38" s="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t="s">
        <v>113</v>
      </c>
      <c r="B1" t="s">
        <v>114</v>
      </c>
    </row>
    <row r="2" spans="1:2" x14ac:dyDescent="0.3">
      <c r="A2" t="s">
        <v>115</v>
      </c>
      <c r="B2">
        <f>SUMIF(Sheet1!F:F,"Income",Sheet1!C:C)</f>
        <v>54076.97</v>
      </c>
    </row>
    <row r="3" spans="1:2" x14ac:dyDescent="0.3">
      <c r="A3" t="s">
        <v>116</v>
      </c>
      <c r="B3">
        <f>SUMIF(Sheet1!F:F,"Expense",Sheet1!C:C)</f>
        <v>19889.13</v>
      </c>
    </row>
    <row r="4" spans="1:2" x14ac:dyDescent="0.3">
      <c r="A4" t="s">
        <v>117</v>
      </c>
      <c r="B4">
        <f>B2-B3</f>
        <v>34187.839999999997</v>
      </c>
    </row>
    <row r="5" spans="1:2" x14ac:dyDescent="0.3">
      <c r="A5" t="s">
        <v>118</v>
      </c>
      <c r="B5">
        <f>AVERAGEIF(Sheet1!F:F,"Expense",Sheet1!C:C)</f>
        <v>864.74478260869569</v>
      </c>
    </row>
    <row r="6" spans="1:2" x14ac:dyDescent="0.3">
      <c r="A6" t="s">
        <v>119</v>
      </c>
      <c r="B6">
        <f>AVERAGEIF(Sheet1!F:F,"Income",Sheet1!C:C)</f>
        <v>3004.2761111111113</v>
      </c>
    </row>
    <row r="7" spans="1:2" x14ac:dyDescent="0.3">
      <c r="A7" t="s">
        <v>120</v>
      </c>
      <c r="B7">
        <f>_xlfn.AGGREGATE(14,6,Sheet1!C2:C9999/(Sheet1!F2:F9999="Expense"),1)</f>
        <v>3000</v>
      </c>
    </row>
    <row r="8" spans="1:2" x14ac:dyDescent="0.3">
      <c r="A8" t="s">
        <v>121</v>
      </c>
      <c r="B8">
        <f>_xlfn.AGGREGATE(15,6,Sheet1!C2:C9999/(Sheet1!F2:F9999="Expense"),1)</f>
        <v>70</v>
      </c>
    </row>
    <row r="9" spans="1:2" x14ac:dyDescent="0.3">
      <c r="A9" t="s">
        <v>122</v>
      </c>
      <c r="B9">
        <f>COUNTA(Sheet1!A:A)-1</f>
        <v>41</v>
      </c>
    </row>
    <row r="10" spans="1:2" x14ac:dyDescent="0.3">
      <c r="A10" t="s">
        <v>123</v>
      </c>
      <c r="B10">
        <f>COUNTIF(Sheet1!F:F,"Expense")</f>
        <v>23</v>
      </c>
    </row>
    <row r="11" spans="1:2" x14ac:dyDescent="0.3">
      <c r="A11" t="s">
        <v>124</v>
      </c>
      <c r="B11">
        <f>COUNTIF(Sheet1!F:F,"Income")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abSelected="1" topLeftCell="A23" workbookViewId="0">
      <selection activeCell="A42" sqref="A42:XFD42"/>
    </sheetView>
  </sheetViews>
  <sheetFormatPr defaultRowHeight="14.4" x14ac:dyDescent="0.3"/>
  <cols>
    <col min="1" max="1" width="16.44140625" customWidth="1"/>
    <col min="2" max="2" width="19.21875" style="5" customWidth="1"/>
    <col min="5" max="5" width="17.6640625" customWidth="1"/>
    <col min="6" max="6" width="14.88671875" customWidth="1"/>
  </cols>
  <sheetData>
    <row r="1" spans="1:6" x14ac:dyDescent="0.3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700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>
        <v>640</v>
      </c>
      <c r="D3" t="s">
        <v>12</v>
      </c>
      <c r="E3" t="s">
        <v>13</v>
      </c>
      <c r="F3" t="s">
        <v>10</v>
      </c>
    </row>
    <row r="4" spans="1:6" x14ac:dyDescent="0.3">
      <c r="A4" t="s">
        <v>14</v>
      </c>
      <c r="B4" t="s">
        <v>15</v>
      </c>
      <c r="C4">
        <v>500</v>
      </c>
      <c r="D4" t="s">
        <v>16</v>
      </c>
      <c r="E4" t="s">
        <v>17</v>
      </c>
      <c r="F4" t="s">
        <v>10</v>
      </c>
    </row>
    <row r="5" spans="1:6" x14ac:dyDescent="0.3">
      <c r="A5" t="s">
        <v>18</v>
      </c>
      <c r="B5" t="s">
        <v>19</v>
      </c>
      <c r="C5">
        <v>550</v>
      </c>
      <c r="D5" t="s">
        <v>20</v>
      </c>
      <c r="E5" t="s">
        <v>21</v>
      </c>
      <c r="F5" t="s">
        <v>10</v>
      </c>
    </row>
    <row r="6" spans="1:6" x14ac:dyDescent="0.3">
      <c r="A6" t="s">
        <v>22</v>
      </c>
      <c r="B6" t="s">
        <v>23</v>
      </c>
      <c r="C6">
        <v>200</v>
      </c>
      <c r="D6" t="s">
        <v>24</v>
      </c>
      <c r="E6" t="s">
        <v>25</v>
      </c>
      <c r="F6" t="s">
        <v>10</v>
      </c>
    </row>
    <row r="7" spans="1:6" x14ac:dyDescent="0.3">
      <c r="A7" t="s">
        <v>26</v>
      </c>
      <c r="B7" t="s">
        <v>27</v>
      </c>
      <c r="C7">
        <v>3112.45</v>
      </c>
      <c r="D7" t="s">
        <v>24</v>
      </c>
      <c r="E7" t="s">
        <v>28</v>
      </c>
      <c r="F7" t="s">
        <v>29</v>
      </c>
    </row>
    <row r="8" spans="1:6" x14ac:dyDescent="0.3">
      <c r="A8" t="s">
        <v>30</v>
      </c>
      <c r="B8" t="s">
        <v>31</v>
      </c>
      <c r="C8">
        <v>4899.21</v>
      </c>
      <c r="D8" t="s">
        <v>32</v>
      </c>
      <c r="E8" t="s">
        <v>33</v>
      </c>
      <c r="F8" t="s">
        <v>29</v>
      </c>
    </row>
    <row r="9" spans="1:6" x14ac:dyDescent="0.3">
      <c r="A9" t="s">
        <v>34</v>
      </c>
      <c r="B9" t="s">
        <v>35</v>
      </c>
      <c r="C9">
        <v>278.55</v>
      </c>
      <c r="D9" t="s">
        <v>36</v>
      </c>
      <c r="E9" t="s">
        <v>28</v>
      </c>
      <c r="F9" t="s">
        <v>29</v>
      </c>
    </row>
    <row r="10" spans="1:6" x14ac:dyDescent="0.3">
      <c r="A10" t="s">
        <v>37</v>
      </c>
      <c r="B10" t="s">
        <v>38</v>
      </c>
      <c r="C10">
        <v>1560.22</v>
      </c>
      <c r="D10" t="s">
        <v>39</v>
      </c>
      <c r="E10" t="s">
        <v>28</v>
      </c>
      <c r="F10" t="s">
        <v>10</v>
      </c>
    </row>
    <row r="11" spans="1:6" x14ac:dyDescent="0.3">
      <c r="A11" t="s">
        <v>40</v>
      </c>
      <c r="B11" t="s">
        <v>41</v>
      </c>
      <c r="C11">
        <v>4210.8999999999996</v>
      </c>
      <c r="D11" t="s">
        <v>42</v>
      </c>
      <c r="E11" t="s">
        <v>28</v>
      </c>
      <c r="F11" t="s">
        <v>29</v>
      </c>
    </row>
    <row r="12" spans="1:6" x14ac:dyDescent="0.3">
      <c r="A12" t="s">
        <v>43</v>
      </c>
      <c r="B12" t="s">
        <v>44</v>
      </c>
      <c r="C12">
        <v>890.44</v>
      </c>
      <c r="D12" t="s">
        <v>24</v>
      </c>
      <c r="E12" t="s">
        <v>28</v>
      </c>
      <c r="F12" t="s">
        <v>10</v>
      </c>
    </row>
    <row r="13" spans="1:6" x14ac:dyDescent="0.3">
      <c r="A13" t="s">
        <v>45</v>
      </c>
      <c r="B13" t="s">
        <v>46</v>
      </c>
      <c r="C13">
        <v>3622.11</v>
      </c>
      <c r="D13" t="s">
        <v>47</v>
      </c>
      <c r="E13" t="s">
        <v>28</v>
      </c>
      <c r="F13" t="s">
        <v>29</v>
      </c>
    </row>
    <row r="14" spans="1:6" x14ac:dyDescent="0.3">
      <c r="A14" t="s">
        <v>48</v>
      </c>
      <c r="B14" t="s">
        <v>49</v>
      </c>
      <c r="C14">
        <v>540.75</v>
      </c>
      <c r="D14" t="s">
        <v>39</v>
      </c>
      <c r="E14" t="s">
        <v>28</v>
      </c>
      <c r="F14" t="s">
        <v>10</v>
      </c>
    </row>
    <row r="15" spans="1:6" x14ac:dyDescent="0.3">
      <c r="A15" t="s">
        <v>50</v>
      </c>
      <c r="B15" t="s">
        <v>51</v>
      </c>
      <c r="C15">
        <v>2988.33</v>
      </c>
      <c r="D15" t="s">
        <v>32</v>
      </c>
      <c r="E15" t="s">
        <v>28</v>
      </c>
      <c r="F15" t="s">
        <v>29</v>
      </c>
    </row>
    <row r="16" spans="1:6" x14ac:dyDescent="0.3">
      <c r="A16" t="s">
        <v>52</v>
      </c>
      <c r="B16" t="s">
        <v>53</v>
      </c>
      <c r="C16">
        <v>4721.88</v>
      </c>
      <c r="D16" t="s">
        <v>24</v>
      </c>
      <c r="E16" t="s">
        <v>28</v>
      </c>
      <c r="F16" t="s">
        <v>29</v>
      </c>
    </row>
    <row r="17" spans="1:6" x14ac:dyDescent="0.3">
      <c r="A17" t="s">
        <v>54</v>
      </c>
      <c r="B17" t="s">
        <v>55</v>
      </c>
      <c r="C17">
        <v>1250.67</v>
      </c>
      <c r="D17" t="s">
        <v>36</v>
      </c>
      <c r="E17" t="s">
        <v>28</v>
      </c>
      <c r="F17" t="s">
        <v>29</v>
      </c>
    </row>
    <row r="18" spans="1:6" x14ac:dyDescent="0.3">
      <c r="A18" t="s">
        <v>56</v>
      </c>
      <c r="B18" t="s">
        <v>57</v>
      </c>
      <c r="C18">
        <v>3300.45</v>
      </c>
      <c r="D18" t="s">
        <v>42</v>
      </c>
      <c r="E18" t="s">
        <v>28</v>
      </c>
      <c r="F18" t="s">
        <v>29</v>
      </c>
    </row>
    <row r="19" spans="1:6" x14ac:dyDescent="0.3">
      <c r="A19" t="s">
        <v>58</v>
      </c>
      <c r="B19" t="s">
        <v>59</v>
      </c>
      <c r="C19">
        <v>720.19</v>
      </c>
      <c r="D19" t="s">
        <v>47</v>
      </c>
      <c r="E19" t="s">
        <v>28</v>
      </c>
      <c r="F19" t="s">
        <v>10</v>
      </c>
    </row>
    <row r="20" spans="1:6" x14ac:dyDescent="0.3">
      <c r="A20" t="s">
        <v>60</v>
      </c>
      <c r="B20" t="s">
        <v>61</v>
      </c>
      <c r="C20">
        <v>4100</v>
      </c>
      <c r="D20" t="s">
        <v>24</v>
      </c>
      <c r="E20" t="s">
        <v>28</v>
      </c>
      <c r="F20" t="s">
        <v>29</v>
      </c>
    </row>
    <row r="21" spans="1:6" x14ac:dyDescent="0.3">
      <c r="A21" t="s">
        <v>62</v>
      </c>
      <c r="B21" t="s">
        <v>63</v>
      </c>
      <c r="C21">
        <v>980.55</v>
      </c>
      <c r="D21" t="s">
        <v>36</v>
      </c>
      <c r="E21" t="s">
        <v>28</v>
      </c>
      <c r="F21" t="s">
        <v>10</v>
      </c>
    </row>
    <row r="22" spans="1:6" x14ac:dyDescent="0.3">
      <c r="A22" t="s">
        <v>64</v>
      </c>
      <c r="B22" t="s">
        <v>65</v>
      </c>
      <c r="C22">
        <v>2999.99</v>
      </c>
      <c r="D22" t="s">
        <v>32</v>
      </c>
      <c r="E22" t="s">
        <v>28</v>
      </c>
      <c r="F22" t="s">
        <v>29</v>
      </c>
    </row>
    <row r="23" spans="1:6" x14ac:dyDescent="0.3">
      <c r="A23" t="s">
        <v>66</v>
      </c>
      <c r="B23" t="s">
        <v>67</v>
      </c>
      <c r="C23">
        <v>1500</v>
      </c>
      <c r="D23" t="s">
        <v>39</v>
      </c>
      <c r="E23" t="s">
        <v>28</v>
      </c>
      <c r="F23" t="s">
        <v>29</v>
      </c>
    </row>
    <row r="24" spans="1:6" x14ac:dyDescent="0.3">
      <c r="A24" t="s">
        <v>68</v>
      </c>
      <c r="B24" t="s">
        <v>69</v>
      </c>
      <c r="C24">
        <v>2750.75</v>
      </c>
      <c r="D24" t="s">
        <v>47</v>
      </c>
      <c r="E24" t="s">
        <v>28</v>
      </c>
      <c r="F24" t="s">
        <v>29</v>
      </c>
    </row>
    <row r="25" spans="1:6" x14ac:dyDescent="0.3">
      <c r="A25" t="s">
        <v>70</v>
      </c>
      <c r="B25" t="s">
        <v>71</v>
      </c>
      <c r="C25">
        <v>499.99</v>
      </c>
      <c r="D25" t="s">
        <v>42</v>
      </c>
      <c r="E25" t="s">
        <v>28</v>
      </c>
      <c r="F25" t="s">
        <v>29</v>
      </c>
    </row>
    <row r="26" spans="1:6" x14ac:dyDescent="0.3">
      <c r="A26" t="s">
        <v>72</v>
      </c>
      <c r="B26" t="s">
        <v>73</v>
      </c>
      <c r="C26">
        <v>1350.6</v>
      </c>
      <c r="D26" t="s">
        <v>24</v>
      </c>
      <c r="E26" t="s">
        <v>28</v>
      </c>
      <c r="F26" t="s">
        <v>10</v>
      </c>
    </row>
    <row r="27" spans="1:6" x14ac:dyDescent="0.3">
      <c r="A27" t="s">
        <v>74</v>
      </c>
      <c r="B27" t="s">
        <v>69</v>
      </c>
      <c r="C27">
        <v>3650.8</v>
      </c>
      <c r="D27" t="s">
        <v>32</v>
      </c>
      <c r="E27" t="s">
        <v>28</v>
      </c>
      <c r="F27" t="s">
        <v>29</v>
      </c>
    </row>
    <row r="28" spans="1:6" x14ac:dyDescent="0.3">
      <c r="A28" t="s">
        <v>75</v>
      </c>
      <c r="B28" t="s">
        <v>76</v>
      </c>
      <c r="C28">
        <v>890</v>
      </c>
      <c r="D28" t="s">
        <v>39</v>
      </c>
      <c r="E28" t="s">
        <v>28</v>
      </c>
      <c r="F28" t="s">
        <v>10</v>
      </c>
    </row>
    <row r="29" spans="1:6" x14ac:dyDescent="0.3">
      <c r="A29" t="s">
        <v>77</v>
      </c>
      <c r="B29" t="s">
        <v>78</v>
      </c>
      <c r="C29">
        <v>4200.12</v>
      </c>
      <c r="D29" t="s">
        <v>36</v>
      </c>
      <c r="E29" t="s">
        <v>28</v>
      </c>
      <c r="F29" t="s">
        <v>29</v>
      </c>
    </row>
    <row r="30" spans="1:6" x14ac:dyDescent="0.3">
      <c r="A30" t="s">
        <v>79</v>
      </c>
      <c r="B30" t="s">
        <v>80</v>
      </c>
      <c r="C30">
        <v>765.43</v>
      </c>
      <c r="D30" t="s">
        <v>47</v>
      </c>
      <c r="E30" t="s">
        <v>28</v>
      </c>
      <c r="F30" t="s">
        <v>10</v>
      </c>
    </row>
    <row r="31" spans="1:6" x14ac:dyDescent="0.3">
      <c r="A31" t="s">
        <v>81</v>
      </c>
      <c r="B31" t="s">
        <v>82</v>
      </c>
      <c r="C31">
        <v>3100</v>
      </c>
      <c r="D31" t="s">
        <v>42</v>
      </c>
      <c r="E31" t="s">
        <v>28</v>
      </c>
      <c r="F31" t="s">
        <v>29</v>
      </c>
    </row>
    <row r="32" spans="1:6" x14ac:dyDescent="0.3">
      <c r="A32" t="s">
        <v>83</v>
      </c>
      <c r="B32" t="s">
        <v>84</v>
      </c>
      <c r="C32">
        <v>2890.77</v>
      </c>
      <c r="D32" t="s">
        <v>24</v>
      </c>
      <c r="E32" t="s">
        <v>28</v>
      </c>
      <c r="F32" t="s">
        <v>29</v>
      </c>
    </row>
    <row r="33" spans="1:6" x14ac:dyDescent="0.3">
      <c r="A33" t="s">
        <v>85</v>
      </c>
      <c r="B33" t="s">
        <v>86</v>
      </c>
      <c r="C33">
        <v>650.29999999999995</v>
      </c>
      <c r="D33" t="s">
        <v>36</v>
      </c>
      <c r="E33" t="s">
        <v>28</v>
      </c>
      <c r="F33" t="s">
        <v>10</v>
      </c>
    </row>
    <row r="34" spans="1:6" x14ac:dyDescent="0.3">
      <c r="A34" t="s">
        <v>87</v>
      </c>
      <c r="B34" t="s">
        <v>88</v>
      </c>
      <c r="C34">
        <v>1450.1</v>
      </c>
      <c r="D34" t="s">
        <v>39</v>
      </c>
      <c r="E34" t="s">
        <v>28</v>
      </c>
      <c r="F34" t="s">
        <v>10</v>
      </c>
    </row>
    <row r="35" spans="1:6" x14ac:dyDescent="0.3">
      <c r="A35" t="s">
        <v>89</v>
      </c>
      <c r="B35" t="s">
        <v>90</v>
      </c>
      <c r="C35">
        <v>980</v>
      </c>
      <c r="D35" t="s">
        <v>32</v>
      </c>
      <c r="E35" t="s">
        <v>28</v>
      </c>
      <c r="F35" t="s">
        <v>10</v>
      </c>
    </row>
    <row r="36" spans="1:6" x14ac:dyDescent="0.3">
      <c r="A36" t="s">
        <v>91</v>
      </c>
      <c r="B36" t="s">
        <v>92</v>
      </c>
      <c r="C36">
        <v>2100.5500000000002</v>
      </c>
      <c r="D36" t="s">
        <v>47</v>
      </c>
      <c r="E36" t="s">
        <v>28</v>
      </c>
      <c r="F36" t="s">
        <v>10</v>
      </c>
    </row>
    <row r="37" spans="1:6" x14ac:dyDescent="0.3">
      <c r="A37" t="s">
        <v>93</v>
      </c>
      <c r="B37" t="s">
        <v>94</v>
      </c>
      <c r="C37">
        <v>500</v>
      </c>
      <c r="D37" t="s">
        <v>95</v>
      </c>
      <c r="E37" t="s">
        <v>96</v>
      </c>
      <c r="F37" t="s">
        <v>10</v>
      </c>
    </row>
    <row r="38" spans="1:6" x14ac:dyDescent="0.3">
      <c r="A38" t="s">
        <v>97</v>
      </c>
      <c r="B38" s="6" t="s">
        <v>98</v>
      </c>
      <c r="C38">
        <v>3000</v>
      </c>
      <c r="D38" t="s">
        <v>99</v>
      </c>
      <c r="E38" t="s">
        <v>28</v>
      </c>
      <c r="F38" t="s">
        <v>10</v>
      </c>
    </row>
    <row r="39" spans="1:6" x14ac:dyDescent="0.3">
      <c r="A39" t="s">
        <v>97</v>
      </c>
      <c r="B39" t="s">
        <v>100</v>
      </c>
      <c r="C39">
        <v>500</v>
      </c>
      <c r="D39" t="s">
        <v>20</v>
      </c>
      <c r="E39" t="s">
        <v>101</v>
      </c>
      <c r="F39" t="s">
        <v>10</v>
      </c>
    </row>
    <row r="40" spans="1:6" x14ac:dyDescent="0.3">
      <c r="A40" t="s">
        <v>97</v>
      </c>
      <c r="B40" t="s">
        <v>102</v>
      </c>
      <c r="C40">
        <v>150</v>
      </c>
      <c r="D40" t="s">
        <v>103</v>
      </c>
      <c r="E40" t="s">
        <v>28</v>
      </c>
      <c r="F40" t="s">
        <v>10</v>
      </c>
    </row>
    <row r="41" spans="1:6" x14ac:dyDescent="0.3">
      <c r="A41" t="s">
        <v>104</v>
      </c>
      <c r="B41" t="s">
        <v>105</v>
      </c>
      <c r="C41">
        <v>200</v>
      </c>
      <c r="D41" t="s">
        <v>12</v>
      </c>
      <c r="E41" t="s">
        <v>106</v>
      </c>
      <c r="F41" t="s">
        <v>10</v>
      </c>
    </row>
    <row r="42" spans="1:6" x14ac:dyDescent="0.3">
      <c r="A42" t="s">
        <v>125</v>
      </c>
      <c r="B42" s="6">
        <v>46112</v>
      </c>
      <c r="C42">
        <v>70</v>
      </c>
      <c r="D42" t="s">
        <v>126</v>
      </c>
      <c r="E42" t="s">
        <v>28</v>
      </c>
      <c r="F42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PivotTables</vt:lpstr>
      <vt:lpstr>Calculations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Aaryasree Rajesh</cp:lastModifiedBy>
  <dcterms:created xsi:type="dcterms:W3CDTF">2026-02-27T15:08:09Z</dcterms:created>
  <dcterms:modified xsi:type="dcterms:W3CDTF">2026-03-31T10:54:34Z</dcterms:modified>
</cp:coreProperties>
</file>